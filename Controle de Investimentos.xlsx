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ps\Documents\DIO - Excel IA\"/>
    </mc:Choice>
  </mc:AlternateContent>
  <xr:revisionPtr revIDLastSave="0" documentId="13_ncr:1_{72784927-4809-42A7-8026-A1851D53B398}" xr6:coauthVersionLast="47" xr6:coauthVersionMax="47" xr10:uidLastSave="{00000000-0000-0000-0000-000000000000}"/>
  <bookViews>
    <workbookView xWindow="-120" yWindow="-120" windowWidth="29040" windowHeight="15720" xr2:uid="{AE1DD449-3F54-46E2-AEDA-E7C753A4584B}"/>
  </bookViews>
  <sheets>
    <sheet name="Planilha1" sheetId="1" r:id="rId1"/>
    <sheet name="Planilha2" sheetId="2" r:id="rId2"/>
  </sheets>
  <externalReferences>
    <externalReference r:id="rId3"/>
  </externalReferences>
  <definedNames>
    <definedName name="aporte">Planilha1!$D$17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2" l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H4" i="2"/>
  <c r="A4" i="2"/>
  <c r="A3" i="2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3" i="1"/>
  <c r="D11" i="1" l="1"/>
  <c r="D16" i="1"/>
  <c r="D17" i="1" l="1"/>
  <c r="D18" i="1" s="1"/>
  <c r="C21" i="1"/>
  <c r="D21" i="1" s="1"/>
  <c r="C22" i="1"/>
  <c r="D22" i="1" s="1"/>
  <c r="C25" i="1"/>
  <c r="D25" i="1" s="1"/>
  <c r="C24" i="1"/>
  <c r="D24" i="1" s="1"/>
  <c r="C23" i="1"/>
  <c r="D23" i="1" s="1"/>
</calcChain>
</file>

<file path=xl/sharedStrings.xml><?xml version="1.0" encoding="utf-8"?>
<sst xmlns="http://schemas.openxmlformats.org/spreadsheetml/2006/main" count="71" uniqueCount="34">
  <si>
    <t>Investimento Mensal</t>
  </si>
  <si>
    <t>Por Quantos Anos?</t>
  </si>
  <si>
    <t>Taxa de Rendimento Mensal</t>
  </si>
  <si>
    <t>Patrimonio Acumulado</t>
  </si>
  <si>
    <t>Dividendos Mensais</t>
  </si>
  <si>
    <t>Quanto Investir por Mês?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</si>
  <si>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</si>
  <si>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</si>
  <si>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</si>
  <si>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</si>
  <si>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</si>
  <si>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</si>
  <si>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</si>
  <si>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Configurações</t>
  </si>
  <si>
    <t>Salário</t>
  </si>
  <si>
    <t>Rendimento Carteira</t>
  </si>
  <si>
    <t>Sugestão de Investimento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</si>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</sst>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8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6" borderId="0" applyNumberFormat="0" applyBorder="0" applyAlignment="0" applyProtection="0"/>
    <xf numFmtId="168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5" xfId="0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2" fillId="3" borderId="9" xfId="1" applyNumberFormat="1" applyFont="1" applyFill="1" applyBorder="1" applyAlignment="1">
      <alignment horizontal="center" vertical="center"/>
    </xf>
    <xf numFmtId="164" fontId="2" fillId="3" borderId="11" xfId="1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/>
    </xf>
    <xf numFmtId="164" fontId="2" fillId="3" borderId="16" xfId="1" applyNumberFormat="1" applyFont="1" applyFill="1" applyBorder="1" applyAlignment="1">
      <alignment horizontal="center" vertical="center"/>
    </xf>
    <xf numFmtId="164" fontId="2" fillId="3" borderId="17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4" fontId="0" fillId="0" borderId="19" xfId="0" applyNumberFormat="1" applyBorder="1" applyAlignment="1">
      <alignment vertical="center"/>
    </xf>
    <xf numFmtId="9" fontId="0" fillId="0" borderId="7" xfId="0" applyNumberFormat="1" applyBorder="1" applyAlignment="1">
      <alignment vertical="center"/>
    </xf>
    <xf numFmtId="44" fontId="0" fillId="0" borderId="8" xfId="1" applyFont="1" applyBorder="1" applyAlignment="1">
      <alignment vertic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0" xfId="0" applyFill="1" applyBorder="1" applyAlignment="1">
      <alignment horizontal="left" vertical="center" indent="1"/>
    </xf>
    <xf numFmtId="0" fontId="0" fillId="3" borderId="13" xfId="0" applyFill="1" applyBorder="1" applyAlignment="1">
      <alignment horizontal="left" vertical="center" indent="1"/>
    </xf>
    <xf numFmtId="0" fontId="0" fillId="3" borderId="13" xfId="0" applyFont="1" applyFill="1" applyBorder="1" applyAlignment="1">
      <alignment horizontal="left" vertical="center" indent="1"/>
    </xf>
    <xf numFmtId="0" fontId="0" fillId="3" borderId="15" xfId="0" applyFont="1" applyFill="1" applyBorder="1" applyAlignment="1">
      <alignment horizontal="left" vertical="center" indent="1"/>
    </xf>
    <xf numFmtId="8" fontId="2" fillId="3" borderId="29" xfId="0" applyNumberFormat="1" applyFont="1" applyFill="1" applyBorder="1" applyAlignment="1">
      <alignment horizontal="center" vertical="center"/>
    </xf>
    <xf numFmtId="8" fontId="2" fillId="3" borderId="30" xfId="0" applyNumberFormat="1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left" vertical="center" indent="1"/>
    </xf>
    <xf numFmtId="0" fontId="2" fillId="3" borderId="34" xfId="0" applyFont="1" applyFill="1" applyBorder="1" applyAlignment="1">
      <alignment horizontal="left" vertical="center" indent="1"/>
    </xf>
    <xf numFmtId="0" fontId="2" fillId="3" borderId="31" xfId="0" applyFont="1" applyFill="1" applyBorder="1" applyAlignment="1">
      <alignment horizontal="left" vertical="center" indent="1"/>
    </xf>
    <xf numFmtId="0" fontId="2" fillId="3" borderId="32" xfId="0" applyFont="1" applyFill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22" xfId="0" applyBorder="1" applyAlignment="1">
      <alignment horizontal="left" vertical="center" indent="1"/>
    </xf>
    <xf numFmtId="0" fontId="3" fillId="5" borderId="20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4" borderId="27" xfId="0" applyFill="1" applyBorder="1" applyAlignment="1">
      <alignment horizontal="left" vertical="center" indent="1"/>
    </xf>
    <xf numFmtId="0" fontId="0" fillId="4" borderId="28" xfId="0" applyFill="1" applyBorder="1" applyAlignment="1">
      <alignment horizontal="left" vertical="center" indent="1"/>
    </xf>
    <xf numFmtId="0" fontId="0" fillId="4" borderId="26" xfId="0" applyFill="1" applyBorder="1" applyAlignment="1">
      <alignment horizontal="left" vertical="center" indent="1"/>
    </xf>
    <xf numFmtId="0" fontId="0" fillId="4" borderId="6" xfId="0" applyFill="1" applyBorder="1" applyAlignment="1">
      <alignment horizontal="left" vertical="center" indent="1"/>
    </xf>
    <xf numFmtId="0" fontId="0" fillId="4" borderId="24" xfId="0" applyFill="1" applyBorder="1" applyAlignment="1">
      <alignment horizontal="left" vertical="center" indent="1"/>
    </xf>
    <xf numFmtId="0" fontId="0" fillId="4" borderId="25" xfId="0" applyFill="1" applyBorder="1" applyAlignment="1">
      <alignment horizontal="left" vertical="center" indent="1"/>
    </xf>
    <xf numFmtId="0" fontId="2" fillId="7" borderId="18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2" fillId="4" borderId="0" xfId="1" applyNumberFormat="1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6" fillId="6" borderId="0" xfId="3"/>
    <xf numFmtId="0" fontId="6" fillId="6" borderId="0" xfId="3" applyAlignment="1">
      <alignment horizontal="center"/>
    </xf>
    <xf numFmtId="0" fontId="2" fillId="4" borderId="0" xfId="0" applyFont="1" applyFill="1"/>
    <xf numFmtId="0" fontId="0" fillId="0" borderId="35" xfId="0" applyBorder="1"/>
    <xf numFmtId="0" fontId="0" fillId="0" borderId="35" xfId="0" applyBorder="1" applyAlignment="1">
      <alignment horizontal="center"/>
    </xf>
    <xf numFmtId="9" fontId="0" fillId="0" borderId="35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6" fillId="6" borderId="0" xfId="2" applyFont="1" applyFill="1"/>
    <xf numFmtId="0" fontId="7" fillId="9" borderId="0" xfId="0" applyFont="1" applyFill="1"/>
    <xf numFmtId="0" fontId="7" fillId="9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164" fontId="0" fillId="4" borderId="36" xfId="0" applyNumberFormat="1" applyFill="1" applyBorder="1" applyAlignment="1">
      <alignment horizontal="center"/>
    </xf>
    <xf numFmtId="0" fontId="0" fillId="0" borderId="37" xfId="0" applyBorder="1" applyAlignment="1">
      <alignment horizontal="center"/>
    </xf>
    <xf numFmtId="164" fontId="0" fillId="4" borderId="38" xfId="0" applyNumberFormat="1" applyFill="1" applyBorder="1" applyAlignment="1">
      <alignment horizontal="center"/>
    </xf>
  </cellXfs>
  <cellStyles count="5">
    <cellStyle name="Moeda" xfId="1" builtinId="4"/>
    <cellStyle name="Moeda 2" xfId="4" xr:uid="{C27DDB07-05D4-4CC8-B445-270D43869AAA}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9-493D-BE2E-7E810A3C8017}"/>
            </c:ext>
          </c:extLst>
        </c:ser>
        <c:ser>
          <c:idx val="1"/>
          <c:order val="1"/>
          <c:tx>
            <c:strRef>
              <c:f>Planilha1!$D$35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Planilha1!$D$36:$D$41</c:f>
              <c:numCache>
                <c:formatCode>"R$"\ #,##0.00</c:formatCode>
                <c:ptCount val="6"/>
                <c:pt idx="0">
                  <c:v>8166.9669856409128</c:v>
                </c:pt>
                <c:pt idx="1">
                  <c:v>1633.3933971281826</c:v>
                </c:pt>
                <c:pt idx="2">
                  <c:v>816.69669856409132</c:v>
                </c:pt>
                <c:pt idx="3">
                  <c:v>816.69669856409132</c:v>
                </c:pt>
                <c:pt idx="4">
                  <c:v>3266.7867942563653</c:v>
                </c:pt>
                <c:pt idx="5">
                  <c:v>1633.3933971281826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F9-493D-BE2E-7E810A3C80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4</xdr:col>
      <xdr:colOff>21981</xdr:colOff>
      <xdr:row>6</xdr:row>
      <xdr:rowOff>19049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BD30F27-226F-674A-ABAC-A530F96B1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135" y="276225"/>
          <a:ext cx="4322884" cy="885824"/>
        </a:xfrm>
        <a:prstGeom prst="rect">
          <a:avLst/>
        </a:prstGeom>
      </xdr:spPr>
    </xdr:pic>
    <xdr:clientData/>
  </xdr:twoCellAnchor>
  <xdr:twoCellAnchor>
    <xdr:from>
      <xdr:col>0</xdr:col>
      <xdr:colOff>388328</xdr:colOff>
      <xdr:row>41</xdr:row>
      <xdr:rowOff>145074</xdr:rowOff>
    </xdr:from>
    <xdr:to>
      <xdr:col>4</xdr:col>
      <xdr:colOff>351693</xdr:colOff>
      <xdr:row>56</xdr:row>
      <xdr:rowOff>30774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AB547A3-8256-95A7-B7C4-9A6D0760C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lps\Downloads\a04b81b1-8e35-4e72-aeb9-98aed8ed4403.xlsx" TargetMode="External"/><Relationship Id="rId1" Type="http://schemas.openxmlformats.org/officeDocument/2006/relationships/externalLinkPath" Target="/Users/Felps/Downloads/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35">
          <cell r="C35" t="str">
            <v>Percentual Sugerido</v>
          </cell>
        </row>
        <row r="36">
          <cell r="B36" t="str">
            <v>PAPEL</v>
          </cell>
          <cell r="C36">
            <v>0.32</v>
          </cell>
        </row>
        <row r="37">
          <cell r="B37" t="str">
            <v>TIJOLO</v>
          </cell>
          <cell r="C37">
            <v>0.35</v>
          </cell>
        </row>
        <row r="38">
          <cell r="B38" t="str">
            <v>HÍBRIDOS</v>
          </cell>
          <cell r="C38">
            <v>0.08</v>
          </cell>
        </row>
        <row r="39">
          <cell r="B39" t="str">
            <v>FOFs</v>
          </cell>
          <cell r="C39">
            <v>0.05</v>
          </cell>
        </row>
        <row r="40">
          <cell r="B40" t="str">
            <v>DESENVOLVIMENTO</v>
          </cell>
          <cell r="C40">
            <v>0.1</v>
          </cell>
        </row>
        <row r="41">
          <cell r="B41" t="str">
            <v>HOTELARIAS</v>
          </cell>
          <cell r="C41">
            <v>0.1</v>
          </cell>
        </row>
      </sheetData>
      <sheetData sheetId="1">
        <row r="2">
          <cell r="A2" t="str">
            <v>CHAVE</v>
          </cell>
          <cell r="B2" t="str">
            <v>PERFIL</v>
          </cell>
          <cell r="C2" t="str">
            <v>TIPO DE FII</v>
          </cell>
          <cell r="D2" t="str">
            <v>%</v>
          </cell>
        </row>
        <row r="3">
          <cell r="A3" t="str">
            <v>Conservador-PAPEL</v>
          </cell>
          <cell r="B3" t="str">
            <v>Conservador</v>
          </cell>
          <cell r="C3" t="str">
            <v>PAPEL</v>
          </cell>
          <cell r="D3">
            <v>0.3</v>
          </cell>
        </row>
        <row r="4">
          <cell r="A4" t="str">
            <v>Conservador-TIJOLO</v>
          </cell>
          <cell r="B4" t="str">
            <v>Conservador</v>
          </cell>
          <cell r="C4" t="str">
            <v>TIJOLO</v>
          </cell>
          <cell r="D4">
            <v>0.5</v>
          </cell>
        </row>
        <row r="5">
          <cell r="A5" t="str">
            <v>Conservador-HÍBRIDOS</v>
          </cell>
          <cell r="B5" t="str">
            <v>Conservador</v>
          </cell>
          <cell r="C5" t="str">
            <v>HÍBRIDOS</v>
          </cell>
          <cell r="D5">
            <v>0.1</v>
          </cell>
        </row>
        <row r="6">
          <cell r="A6" t="str">
            <v>Conservador-FOFs</v>
          </cell>
          <cell r="B6" t="str">
            <v>Conservador</v>
          </cell>
          <cell r="C6" t="str">
            <v>FOFs</v>
          </cell>
          <cell r="D6">
            <v>0.1</v>
          </cell>
        </row>
        <row r="7">
          <cell r="A7" t="str">
            <v>Conservador-DESENVOLVIMENTO</v>
          </cell>
          <cell r="B7" t="str">
            <v>Conservador</v>
          </cell>
          <cell r="C7" t="str">
            <v>DESENVOLVIMENTO</v>
          </cell>
          <cell r="D7">
            <v>0</v>
          </cell>
        </row>
        <row r="8">
          <cell r="A8" t="str">
            <v>Conservador-HOTELARIAS</v>
          </cell>
          <cell r="B8" t="str">
            <v>Conservador</v>
          </cell>
          <cell r="C8" t="str">
            <v>HOTELARIAS</v>
          </cell>
          <cell r="D8">
            <v>0</v>
          </cell>
        </row>
        <row r="9">
          <cell r="A9" t="str">
            <v>Moderado-PAPEL</v>
          </cell>
          <cell r="B9" t="str">
            <v>Moderado</v>
          </cell>
          <cell r="C9" t="str">
            <v>PAPEL</v>
          </cell>
          <cell r="D9">
            <v>0.32</v>
          </cell>
        </row>
        <row r="10">
          <cell r="A10" t="str">
            <v>Moderado-TIJOLO</v>
          </cell>
          <cell r="B10" t="str">
            <v>Moderado</v>
          </cell>
          <cell r="C10" t="str">
            <v>TIJOLO</v>
          </cell>
          <cell r="D10">
            <v>0.35</v>
          </cell>
        </row>
        <row r="11">
          <cell r="A11" t="str">
            <v>Moderado-HÍBRIDOS</v>
          </cell>
          <cell r="B11" t="str">
            <v>Moderado</v>
          </cell>
          <cell r="C11" t="str">
            <v>HÍBRIDOS</v>
          </cell>
          <cell r="D11">
            <v>0.08</v>
          </cell>
        </row>
        <row r="12">
          <cell r="A12" t="str">
            <v>Moderado-FOFs</v>
          </cell>
          <cell r="B12" t="str">
            <v>Moderado</v>
          </cell>
          <cell r="C12" t="str">
            <v>FOFs</v>
          </cell>
          <cell r="D12">
            <v>0.05</v>
          </cell>
        </row>
        <row r="13">
          <cell r="A13" t="str">
            <v>Moderado-DESENVOLVIMENTO</v>
          </cell>
          <cell r="B13" t="str">
            <v>Moderado</v>
          </cell>
          <cell r="C13" t="str">
            <v>DESENVOLVIMENTO</v>
          </cell>
          <cell r="D13">
            <v>0.1</v>
          </cell>
        </row>
        <row r="14">
          <cell r="A14" t="str">
            <v>Moderado-HOTELARIAS</v>
          </cell>
          <cell r="B14" t="str">
            <v>Moderado</v>
          </cell>
          <cell r="C14" t="str">
            <v>HOTELARIAS</v>
          </cell>
          <cell r="D14">
            <v>0.1</v>
          </cell>
        </row>
        <row r="15">
          <cell r="A15" t="str">
            <v>Agressivo-PAPEL</v>
          </cell>
          <cell r="B15" t="str">
            <v>Agressivo</v>
          </cell>
          <cell r="C15" t="str">
            <v>PAPEL</v>
          </cell>
          <cell r="D15">
            <v>0.5</v>
          </cell>
        </row>
        <row r="16">
          <cell r="A16" t="str">
            <v>Agressivo-TIJOLO</v>
          </cell>
          <cell r="B16" t="str">
            <v>Agressivo</v>
          </cell>
          <cell r="C16" t="str">
            <v>TIJOLO</v>
          </cell>
          <cell r="D16">
            <v>0.1</v>
          </cell>
        </row>
        <row r="17">
          <cell r="A17" t="str">
            <v>Agressivo-HÍBRIDOS</v>
          </cell>
          <cell r="B17" t="str">
            <v>Agressivo</v>
          </cell>
          <cell r="C17" t="str">
            <v>HÍBRIDOS</v>
          </cell>
          <cell r="D17">
            <v>0.05</v>
          </cell>
        </row>
        <row r="18">
          <cell r="A18" t="str">
            <v>Agressivo-FOFs</v>
          </cell>
          <cell r="B18" t="str">
            <v>Agressivo</v>
          </cell>
          <cell r="C18" t="str">
            <v>FOFs</v>
          </cell>
          <cell r="D18">
            <v>0.05</v>
          </cell>
        </row>
        <row r="19">
          <cell r="A19" t="str">
            <v>Agressivo-DESENVOLVIMENTO</v>
          </cell>
          <cell r="B19" t="str">
            <v>Agressivo</v>
          </cell>
          <cell r="C19" t="str">
            <v>DESENVOLVIMENTO</v>
          </cell>
          <cell r="D19">
            <v>0.2</v>
          </cell>
        </row>
        <row r="20">
          <cell r="A20" t="str">
            <v>Agressivo-HOTELARIAS</v>
          </cell>
          <cell r="B20" t="str">
            <v>Agressivo</v>
          </cell>
          <cell r="C20" t="str">
            <v>HOTELARIAS</v>
          </cell>
          <cell r="D20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6D54-7021-4046-8B61-BBE7CC4F7D2D}">
  <dimension ref="B7:H63"/>
  <sheetViews>
    <sheetView showGridLines="0" tabSelected="1" zoomScale="130" zoomScaleNormal="130" workbookViewId="0">
      <selection activeCell="E8" sqref="E8"/>
    </sheetView>
  </sheetViews>
  <sheetFormatPr defaultColWidth="0" defaultRowHeight="15" x14ac:dyDescent="0.25"/>
  <cols>
    <col min="1" max="1" width="9.140625" customWidth="1"/>
    <col min="2" max="2" width="32.140625" bestFit="1" customWidth="1"/>
    <col min="3" max="3" width="19.42578125" bestFit="1" customWidth="1"/>
    <col min="4" max="4" width="12.85546875" bestFit="1" customWidth="1"/>
    <col min="5" max="5" width="12" customWidth="1"/>
    <col min="6" max="6" width="12.140625" hidden="1"/>
    <col min="7" max="7" width="23.7109375" hidden="1"/>
    <col min="8" max="8" width="12.140625" hidden="1"/>
  </cols>
  <sheetData>
    <row r="7" spans="2:5" ht="15.75" thickBot="1" x14ac:dyDescent="0.3"/>
    <row r="8" spans="2:5" ht="27" thickBot="1" x14ac:dyDescent="0.3">
      <c r="B8" s="29" t="s">
        <v>13</v>
      </c>
      <c r="C8" s="30"/>
      <c r="D8" s="31"/>
    </row>
    <row r="9" spans="2:5" x14ac:dyDescent="0.25">
      <c r="B9" s="39" t="s">
        <v>14</v>
      </c>
      <c r="C9" s="40"/>
      <c r="D9" s="12">
        <v>2000</v>
      </c>
    </row>
    <row r="10" spans="2:5" x14ac:dyDescent="0.25">
      <c r="B10" s="37" t="s">
        <v>15</v>
      </c>
      <c r="C10" s="38"/>
      <c r="D10" s="13">
        <v>0.01</v>
      </c>
      <c r="E10" s="16"/>
    </row>
    <row r="11" spans="2:5" ht="15.75" thickBot="1" x14ac:dyDescent="0.3">
      <c r="B11" s="35" t="s">
        <v>16</v>
      </c>
      <c r="C11" s="36"/>
      <c r="D11" s="14">
        <f>D9*30%</f>
        <v>600</v>
      </c>
    </row>
    <row r="12" spans="2:5" ht="15.75" thickBot="1" x14ac:dyDescent="0.3"/>
    <row r="13" spans="2:5" ht="39" customHeight="1" thickBot="1" x14ac:dyDescent="0.3">
      <c r="B13" s="32" t="s">
        <v>0</v>
      </c>
      <c r="C13" s="33"/>
      <c r="D13" s="34"/>
    </row>
    <row r="14" spans="2:5" x14ac:dyDescent="0.25">
      <c r="B14" s="27" t="s">
        <v>5</v>
      </c>
      <c r="C14" s="28"/>
      <c r="D14" s="15">
        <v>200</v>
      </c>
    </row>
    <row r="15" spans="2:5" x14ac:dyDescent="0.25">
      <c r="B15" s="27" t="s">
        <v>1</v>
      </c>
      <c r="C15" s="28"/>
      <c r="D15" s="1">
        <v>5</v>
      </c>
    </row>
    <row r="16" spans="2:5" x14ac:dyDescent="0.25">
      <c r="B16" s="27" t="s">
        <v>2</v>
      </c>
      <c r="C16" s="28"/>
      <c r="D16" s="2">
        <f>D10</f>
        <v>0.01</v>
      </c>
    </row>
    <row r="17" spans="2:4" x14ac:dyDescent="0.25">
      <c r="B17" s="25" t="s">
        <v>3</v>
      </c>
      <c r="C17" s="26"/>
      <c r="D17" s="21">
        <f>FV(D16,D15*12,D14*-1)</f>
        <v>16333.933971281826</v>
      </c>
    </row>
    <row r="18" spans="2:4" ht="15.75" thickBot="1" x14ac:dyDescent="0.3">
      <c r="B18" s="23" t="s">
        <v>4</v>
      </c>
      <c r="C18" s="24"/>
      <c r="D18" s="22">
        <f>D17*D10</f>
        <v>163.33933971281826</v>
      </c>
    </row>
    <row r="19" spans="2:4" ht="15.75" thickBot="1" x14ac:dyDescent="0.3"/>
    <row r="20" spans="2:4" ht="27" thickBot="1" x14ac:dyDescent="0.3">
      <c r="B20" s="3" t="s">
        <v>6</v>
      </c>
      <c r="C20" s="10"/>
      <c r="D20" s="11" t="s">
        <v>12</v>
      </c>
    </row>
    <row r="21" spans="2:4" x14ac:dyDescent="0.25">
      <c r="B21" s="17" t="s">
        <v>7</v>
      </c>
      <c r="C21" s="5">
        <f>FV($D$16,2*12,$D$14*-1)</f>
        <v>5394.6929706382998</v>
      </c>
      <c r="D21" s="6">
        <f>C21*$D$10</f>
        <v>53.946929706383003</v>
      </c>
    </row>
    <row r="22" spans="2:4" x14ac:dyDescent="0.25">
      <c r="B22" s="18" t="s">
        <v>8</v>
      </c>
      <c r="C22" s="4">
        <f>FV($D$16,5*12,$D$14*-1)</f>
        <v>16333.933971281826</v>
      </c>
      <c r="D22" s="7">
        <f>C22*$D$10</f>
        <v>163.33933971281826</v>
      </c>
    </row>
    <row r="23" spans="2:4" x14ac:dyDescent="0.25">
      <c r="B23" s="18" t="s">
        <v>9</v>
      </c>
      <c r="C23" s="4">
        <f>FV($D$16,10*12,$D$14*-1)</f>
        <v>46007.7378914734</v>
      </c>
      <c r="D23" s="7">
        <f>C23*$D$10</f>
        <v>460.07737891473403</v>
      </c>
    </row>
    <row r="24" spans="2:4" x14ac:dyDescent="0.25">
      <c r="B24" s="19" t="s">
        <v>10</v>
      </c>
      <c r="C24" s="4">
        <f>FV($D$16,20*12,$D$14*-1)</f>
        <v>197851.0730774726</v>
      </c>
      <c r="D24" s="7">
        <f>C24*$D$10</f>
        <v>1978.510730774726</v>
      </c>
    </row>
    <row r="25" spans="2:4" ht="15.75" thickBot="1" x14ac:dyDescent="0.3">
      <c r="B25" s="20" t="s">
        <v>11</v>
      </c>
      <c r="C25" s="8">
        <f>FV($D$16,30*12,$D$14*-1)</f>
        <v>698992.82655370131</v>
      </c>
      <c r="D25" s="9">
        <f>C25*$D$10</f>
        <v>6989.9282655370134</v>
      </c>
    </row>
    <row r="27" spans="2:4" hidden="1" x14ac:dyDescent="0.25"/>
    <row r="28" spans="2:4" hidden="1" x14ac:dyDescent="0.25"/>
    <row r="29" spans="2:4" hidden="1" x14ac:dyDescent="0.25"/>
    <row r="30" spans="2:4" hidden="1" x14ac:dyDescent="0.25"/>
    <row r="32" spans="2:4" x14ac:dyDescent="0.25">
      <c r="B32" s="48" t="s">
        <v>17</v>
      </c>
      <c r="C32" s="49" t="s">
        <v>33</v>
      </c>
      <c r="D32" s="48"/>
    </row>
    <row r="33" spans="2:4" x14ac:dyDescent="0.25">
      <c r="B33" s="50" t="s">
        <v>19</v>
      </c>
      <c r="C33" s="44">
        <f>aporte</f>
        <v>16333.933971281826</v>
      </c>
      <c r="D33" s="50"/>
    </row>
    <row r="34" spans="2:4" ht="15.75" thickBot="1" x14ac:dyDescent="0.3">
      <c r="B34" s="45"/>
      <c r="C34" s="45"/>
      <c r="D34" s="45"/>
    </row>
    <row r="35" spans="2:4" x14ac:dyDescent="0.25">
      <c r="B35" s="43" t="s">
        <v>20</v>
      </c>
      <c r="C35" s="41" t="s">
        <v>21</v>
      </c>
      <c r="D35" s="42" t="s">
        <v>22</v>
      </c>
    </row>
    <row r="36" spans="2:4" x14ac:dyDescent="0.25">
      <c r="B36" s="60" t="s">
        <v>23</v>
      </c>
      <c r="C36" s="61">
        <f>VLOOKUP($C$32&amp;"-"&amp;B36,[1]Planilha2!$A:$D,4,FALSE)</f>
        <v>0.5</v>
      </c>
      <c r="D36" s="62">
        <f>C36*$C$33</f>
        <v>8166.9669856409128</v>
      </c>
    </row>
    <row r="37" spans="2:4" x14ac:dyDescent="0.25">
      <c r="B37" s="60" t="s">
        <v>24</v>
      </c>
      <c r="C37" s="61">
        <f>VLOOKUP($C$32&amp;"-"&amp;B37,[1]Planilha2!$A:$D,4,FALSE)</f>
        <v>0.1</v>
      </c>
      <c r="D37" s="62">
        <f t="shared" ref="D37:D41" si="0">C37*$C$33</f>
        <v>1633.3933971281826</v>
      </c>
    </row>
    <row r="38" spans="2:4" x14ac:dyDescent="0.25">
      <c r="B38" s="60" t="s">
        <v>25</v>
      </c>
      <c r="C38" s="61">
        <f>VLOOKUP($C$32&amp;"-"&amp;B38,[1]Planilha2!$A:$D,4,FALSE)</f>
        <v>0.05</v>
      </c>
      <c r="D38" s="62">
        <f t="shared" si="0"/>
        <v>816.69669856409132</v>
      </c>
    </row>
    <row r="39" spans="2:4" x14ac:dyDescent="0.25">
      <c r="B39" s="60" t="s">
        <v>26</v>
      </c>
      <c r="C39" s="61">
        <f>VLOOKUP($C$32&amp;"-"&amp;B39,[1]Planilha2!$A:$D,4,FALSE)</f>
        <v>0.05</v>
      </c>
      <c r="D39" s="62">
        <f t="shared" si="0"/>
        <v>816.69669856409132</v>
      </c>
    </row>
    <row r="40" spans="2:4" x14ac:dyDescent="0.25">
      <c r="B40" s="60" t="s">
        <v>27</v>
      </c>
      <c r="C40" s="61">
        <f>VLOOKUP($C$32&amp;"-"&amp;B40,[1]Planilha2!$A:$D,4,FALSE)</f>
        <v>0.2</v>
      </c>
      <c r="D40" s="62">
        <f t="shared" si="0"/>
        <v>3266.7867942563653</v>
      </c>
    </row>
    <row r="41" spans="2:4" ht="15.75" thickBot="1" x14ac:dyDescent="0.3">
      <c r="B41" s="63" t="s">
        <v>28</v>
      </c>
      <c r="C41" s="53">
        <f>VLOOKUP($C$32&amp;"-"&amp;B41,[1]Planilha2!$A:$D,4,FALSE)</f>
        <v>0.1</v>
      </c>
      <c r="D41" s="64">
        <f t="shared" si="0"/>
        <v>1633.3933971281826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</sheetData>
  <mergeCells count="10">
    <mergeCell ref="B8:D8"/>
    <mergeCell ref="B13:D13"/>
    <mergeCell ref="B11:C11"/>
    <mergeCell ref="B10:C10"/>
    <mergeCell ref="B9:C9"/>
    <mergeCell ref="B18:C18"/>
    <mergeCell ref="B17:C17"/>
    <mergeCell ref="B16:C16"/>
    <mergeCell ref="B15:C15"/>
    <mergeCell ref="B14:C14"/>
  </mergeCells>
  <dataValidations count="1">
    <dataValidation type="list" allowBlank="1" showInputMessage="1" showErrorMessage="1" sqref="C32" xr:uid="{781A476E-92BB-47D2-9A2B-E3F8F84D266F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8389-CACA-4236-A96F-333B168AA2DE}">
  <dimension ref="A2:H20"/>
  <sheetViews>
    <sheetView zoomScale="145" zoomScaleNormal="145" workbookViewId="0">
      <selection activeCell="H4" sqref="H4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4.5703125" bestFit="1" customWidth="1"/>
  </cols>
  <sheetData>
    <row r="2" spans="1:8" x14ac:dyDescent="0.25">
      <c r="A2" s="58" t="s">
        <v>29</v>
      </c>
      <c r="B2" s="58" t="s">
        <v>17</v>
      </c>
      <c r="C2" s="59" t="s">
        <v>20</v>
      </c>
      <c r="D2" s="59" t="s">
        <v>30</v>
      </c>
      <c r="E2" s="45"/>
      <c r="F2" s="45"/>
      <c r="G2" s="45"/>
      <c r="H2" s="45"/>
    </row>
    <row r="3" spans="1:8" x14ac:dyDescent="0.25">
      <c r="A3" s="45" t="str">
        <f>B3&amp;"-"&amp;C3</f>
        <v>Conservador-PAPEL</v>
      </c>
      <c r="B3" s="45" t="s">
        <v>31</v>
      </c>
      <c r="C3" s="46" t="s">
        <v>23</v>
      </c>
      <c r="D3" s="47">
        <v>0.3</v>
      </c>
      <c r="E3" s="45"/>
      <c r="F3" s="45"/>
      <c r="G3" s="45"/>
      <c r="H3" s="45" t="s">
        <v>30</v>
      </c>
    </row>
    <row r="4" spans="1:8" x14ac:dyDescent="0.25">
      <c r="A4" s="45" t="str">
        <f t="shared" ref="A4:A20" si="0">B4&amp;"-"&amp;C4</f>
        <v>Conservador-TIJOLO</v>
      </c>
      <c r="B4" s="45" t="s">
        <v>31</v>
      </c>
      <c r="C4" s="46" t="s">
        <v>24</v>
      </c>
      <c r="D4" s="47">
        <v>0.5</v>
      </c>
      <c r="E4" s="45"/>
      <c r="F4" s="45"/>
      <c r="G4" s="48" t="s">
        <v>32</v>
      </c>
      <c r="H4" s="57">
        <f>VLOOKUP(G4,$A:$D,4,FALSE)</f>
        <v>0.35</v>
      </c>
    </row>
    <row r="5" spans="1:8" x14ac:dyDescent="0.25">
      <c r="A5" s="45" t="str">
        <f t="shared" si="0"/>
        <v>Conservador-HÍBRIDOS</v>
      </c>
      <c r="B5" s="45" t="s">
        <v>31</v>
      </c>
      <c r="C5" s="46" t="s">
        <v>25</v>
      </c>
      <c r="D5" s="47">
        <v>0.1</v>
      </c>
      <c r="E5" s="45"/>
      <c r="F5" s="45"/>
      <c r="G5" s="45"/>
      <c r="H5" s="45"/>
    </row>
    <row r="6" spans="1:8" x14ac:dyDescent="0.25">
      <c r="A6" s="45" t="str">
        <f t="shared" si="0"/>
        <v>Conservador-FOFs</v>
      </c>
      <c r="B6" s="45" t="s">
        <v>31</v>
      </c>
      <c r="C6" s="46" t="s">
        <v>26</v>
      </c>
      <c r="D6" s="47">
        <v>0.1</v>
      </c>
      <c r="E6" s="45"/>
      <c r="F6" s="45"/>
      <c r="G6" s="45"/>
      <c r="H6" s="45"/>
    </row>
    <row r="7" spans="1:8" x14ac:dyDescent="0.25">
      <c r="A7" s="45" t="str">
        <f t="shared" si="0"/>
        <v>Conservador-DESENVOLVIMENTO</v>
      </c>
      <c r="B7" s="45" t="s">
        <v>31</v>
      </c>
      <c r="C7" s="46" t="s">
        <v>27</v>
      </c>
      <c r="D7" s="47">
        <v>0</v>
      </c>
      <c r="E7" s="45"/>
      <c r="F7" s="45"/>
      <c r="G7" s="45"/>
      <c r="H7" s="45"/>
    </row>
    <row r="8" spans="1:8" ht="15.75" thickBot="1" x14ac:dyDescent="0.3">
      <c r="A8" s="51" t="str">
        <f t="shared" si="0"/>
        <v>Conservador-HOTELARIAS</v>
      </c>
      <c r="B8" s="51" t="s">
        <v>31</v>
      </c>
      <c r="C8" s="52" t="s">
        <v>28</v>
      </c>
      <c r="D8" s="53">
        <v>0</v>
      </c>
      <c r="E8" s="45"/>
      <c r="F8" s="45"/>
      <c r="G8" s="45"/>
      <c r="H8" s="45"/>
    </row>
    <row r="9" spans="1:8" x14ac:dyDescent="0.25">
      <c r="A9" s="45" t="str">
        <f t="shared" si="0"/>
        <v>Moderado-PAPEL</v>
      </c>
      <c r="B9" s="45" t="s">
        <v>18</v>
      </c>
      <c r="C9" s="46" t="s">
        <v>23</v>
      </c>
      <c r="D9" s="47">
        <v>0.32</v>
      </c>
      <c r="E9" s="45"/>
      <c r="F9" s="45"/>
      <c r="G9" s="45"/>
      <c r="H9" s="45"/>
    </row>
    <row r="10" spans="1:8" x14ac:dyDescent="0.25">
      <c r="A10" s="54" t="str">
        <f t="shared" si="0"/>
        <v>Moderado-TIJOLO</v>
      </c>
      <c r="B10" s="54" t="s">
        <v>18</v>
      </c>
      <c r="C10" s="55" t="s">
        <v>24</v>
      </c>
      <c r="D10" s="56">
        <v>0.35</v>
      </c>
      <c r="E10" s="45"/>
      <c r="F10" s="45"/>
      <c r="G10" s="45"/>
      <c r="H10" s="45"/>
    </row>
    <row r="11" spans="1:8" x14ac:dyDescent="0.25">
      <c r="A11" s="45" t="str">
        <f t="shared" si="0"/>
        <v>Moderado-HÍBRIDOS</v>
      </c>
      <c r="B11" s="45" t="s">
        <v>18</v>
      </c>
      <c r="C11" s="46" t="s">
        <v>25</v>
      </c>
      <c r="D11" s="47">
        <v>0.08</v>
      </c>
      <c r="E11" s="45"/>
      <c r="F11" s="45"/>
      <c r="G11" s="45"/>
      <c r="H11" s="45"/>
    </row>
    <row r="12" spans="1:8" x14ac:dyDescent="0.25">
      <c r="A12" s="45" t="str">
        <f t="shared" si="0"/>
        <v>Moderado-FOFs</v>
      </c>
      <c r="B12" s="45" t="s">
        <v>18</v>
      </c>
      <c r="C12" s="46" t="s">
        <v>26</v>
      </c>
      <c r="D12" s="47">
        <v>0.05</v>
      </c>
      <c r="E12" s="45"/>
      <c r="F12" s="45"/>
      <c r="G12" s="45"/>
      <c r="H12" s="45"/>
    </row>
    <row r="13" spans="1:8" x14ac:dyDescent="0.25">
      <c r="A13" s="45" t="str">
        <f t="shared" si="0"/>
        <v>Moderado-DESENVOLVIMENTO</v>
      </c>
      <c r="B13" s="45" t="s">
        <v>18</v>
      </c>
      <c r="C13" s="46" t="s">
        <v>27</v>
      </c>
      <c r="D13" s="47">
        <v>0.1</v>
      </c>
      <c r="E13" s="45"/>
      <c r="F13" s="45"/>
      <c r="G13" s="45"/>
      <c r="H13" s="45"/>
    </row>
    <row r="14" spans="1:8" ht="15.75" thickBot="1" x14ac:dyDescent="0.3">
      <c r="A14" s="51" t="str">
        <f t="shared" si="0"/>
        <v>Moderado-HOTELARIAS</v>
      </c>
      <c r="B14" s="51" t="s">
        <v>18</v>
      </c>
      <c r="C14" s="52" t="s">
        <v>28</v>
      </c>
      <c r="D14" s="53">
        <v>0.1</v>
      </c>
      <c r="E14" s="45"/>
      <c r="F14" s="45"/>
      <c r="G14" s="45"/>
      <c r="H14" s="45"/>
    </row>
    <row r="15" spans="1:8" x14ac:dyDescent="0.25">
      <c r="A15" s="45" t="str">
        <f t="shared" si="0"/>
        <v>Agressivo-PAPEL</v>
      </c>
      <c r="B15" s="45" t="s">
        <v>33</v>
      </c>
      <c r="C15" s="46" t="s">
        <v>23</v>
      </c>
      <c r="D15" s="47">
        <v>0.5</v>
      </c>
      <c r="E15" s="45"/>
      <c r="F15" s="45"/>
      <c r="G15" s="45"/>
      <c r="H15" s="45"/>
    </row>
    <row r="16" spans="1:8" x14ac:dyDescent="0.25">
      <c r="A16" s="45" t="str">
        <f t="shared" si="0"/>
        <v>Agressivo-TIJOLO</v>
      </c>
      <c r="B16" s="45" t="s">
        <v>33</v>
      </c>
      <c r="C16" s="46" t="s">
        <v>24</v>
      </c>
      <c r="D16" s="47">
        <v>0.1</v>
      </c>
      <c r="E16" s="45"/>
      <c r="F16" s="45"/>
      <c r="G16" s="45"/>
      <c r="H16" s="45"/>
    </row>
    <row r="17" spans="1:8" x14ac:dyDescent="0.25">
      <c r="A17" s="45" t="str">
        <f t="shared" si="0"/>
        <v>Agressivo-HÍBRIDOS</v>
      </c>
      <c r="B17" s="45" t="s">
        <v>33</v>
      </c>
      <c r="C17" s="46" t="s">
        <v>25</v>
      </c>
      <c r="D17" s="47">
        <v>0.05</v>
      </c>
      <c r="E17" s="45"/>
      <c r="F17" s="45"/>
      <c r="G17" s="45"/>
      <c r="H17" s="45"/>
    </row>
    <row r="18" spans="1:8" x14ac:dyDescent="0.25">
      <c r="A18" s="45" t="str">
        <f t="shared" si="0"/>
        <v>Agressivo-FOFs</v>
      </c>
      <c r="B18" s="45" t="s">
        <v>33</v>
      </c>
      <c r="C18" s="46" t="s">
        <v>26</v>
      </c>
      <c r="D18" s="47">
        <v>0.05</v>
      </c>
      <c r="E18" s="45"/>
      <c r="F18" s="45"/>
      <c r="G18" s="45"/>
      <c r="H18" s="45"/>
    </row>
    <row r="19" spans="1:8" x14ac:dyDescent="0.25">
      <c r="A19" s="45" t="str">
        <f t="shared" si="0"/>
        <v>Agressivo-DESENVOLVIMENTO</v>
      </c>
      <c r="B19" s="45" t="s">
        <v>33</v>
      </c>
      <c r="C19" s="46" t="s">
        <v>27</v>
      </c>
      <c r="D19" s="47">
        <v>0.2</v>
      </c>
      <c r="E19" s="45"/>
      <c r="F19" s="45"/>
      <c r="G19" s="45"/>
      <c r="H19" s="45"/>
    </row>
    <row r="20" spans="1:8" x14ac:dyDescent="0.25">
      <c r="A20" s="45" t="str">
        <f t="shared" si="0"/>
        <v>Agressivo-HOTELARIAS</v>
      </c>
      <c r="B20" s="45" t="s">
        <v>33</v>
      </c>
      <c r="C20" s="46" t="s">
        <v>28</v>
      </c>
      <c r="D20" s="47">
        <v>0.1</v>
      </c>
      <c r="E20" s="45"/>
      <c r="F20" s="45"/>
      <c r="G20" s="45"/>
      <c r="H20" s="4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Planilha2</vt:lpstr>
      <vt:lpstr>aporte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 Filippe '</dc:creator>
  <cp:lastModifiedBy>' Filippe '</cp:lastModifiedBy>
  <dcterms:created xsi:type="dcterms:W3CDTF">2026-09-29T00:53:48Z</dcterms:created>
  <dcterms:modified xsi:type="dcterms:W3CDTF">2026-09-29T23:27:43Z</dcterms:modified>
</cp:coreProperties>
</file>